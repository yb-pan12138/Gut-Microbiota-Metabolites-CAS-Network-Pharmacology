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39ea4428048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METlab outputs" sheetId="1" r:id="R6c71cd89f8c14930"/>
    <x:sheet xmlns:r="http://schemas.openxmlformats.org/officeDocument/2006/relationships" name="Retrospective check" sheetId="2" r:id="R3815b4ee528545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7f8b866a384528" /><Relationship Type="http://schemas.openxmlformats.org/officeDocument/2006/relationships/theme" Target="/xl/theme/theme1.xml" Id="R3b93d3331f0e41b2" /><Relationship Type="http://schemas.openxmlformats.org/officeDocument/2006/relationships/sharedStrings" Target="/xl/sharedStrings.xml" Id="Rd088f899342f4656" /><Relationship Type="http://schemas.openxmlformats.org/officeDocument/2006/relationships/worksheet" Target="/xl/worksheets/sheet1.xml" Id="R6c71cd89f8c14930" /><Relationship Type="http://schemas.openxmlformats.org/officeDocument/2006/relationships/worksheet" Target="/xl/worksheets/sheet2.xml" Id="R3815b4ee528545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18" t="str">
        <x:v>Supplementary Table 2. ADMETlab 3.0 predicted toxicity and ecotoxicity outputs</x:v>
      </x:c>
      <x:c r="B1" s="18"/>
      <x:c r="C1" s="18"/>
      <x:c r="D1" s="18"/>
      <x:c r="E1" s="18"/>
      <x:c r="F1" s="18"/>
      <x:c r="G1" s="18"/>
      <x:c r="H1" s="18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 t="str">
        <x:v>Metabolite</x:v>
      </x:c>
      <x:c r="B3" s="20" t="str">
        <x:v>H-HT</x:v>
      </x:c>
      <x:c r="C3" s="20" t="str">
        <x:v>DILI</x:v>
      </x:c>
      <x:c r="D3" s="20" t="str">
        <x:v>hERG</x:v>
      </x:c>
      <x:c r="E3" s="20" t="str">
        <x:v>SkinSen</x:v>
      </x:c>
      <x:c r="F3" s="20" t="str">
        <x:v>Carcinogenicity</x:v>
      </x:c>
      <x:c r="G3" s="20" t="str">
        <x:v>ROA</x:v>
      </x:c>
      <x:c r="H3" s="20" t="str">
        <x:v>LC50DM</x:v>
      </x:c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19" t="str">
        <x:v>3-Phenylpropionic acid</x:v>
      </x:c>
      <x:c r="B4" s="19" t="str">
        <x:v>0.396</x:v>
      </x:c>
      <x:c r="C4" s="19" t="str">
        <x:v>0.108</x:v>
      </x:c>
      <x:c r="D4" s="19" t="str">
        <x:v>0.051</x:v>
      </x:c>
      <x:c r="E4" s="19" t="str">
        <x:v>0.454</x:v>
      </x:c>
      <x:c r="F4" s="19" t="str">
        <x:v>0.234</x:v>
      </x:c>
      <x:c r="G4" s="19" t="str">
        <x:v>0.186</x:v>
      </x:c>
      <x:c r="H4" s="19" t="str">
        <x:v>3.752</x:v>
      </x:c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 t="str">
        <x:v>5,7-Dihydroxy-2-(4-hydroxyphenyl)chroman-4-one</x:v>
      </x:c>
      <x:c r="B5" s="19" t="str">
        <x:v>0.659</x:v>
      </x:c>
      <x:c r="C5" s="19" t="str">
        <x:v>0.334</x:v>
      </x:c>
      <x:c r="D5" s="19" t="str">
        <x:v>0.145</x:v>
      </x:c>
      <x:c r="E5" s="19" t="str">
        <x:v>0.708</x:v>
      </x:c>
      <x:c r="F5" s="19" t="str">
        <x:v>0.656</x:v>
      </x:c>
      <x:c r="G5" s="19" t="str">
        <x:v>0.595</x:v>
      </x:c>
      <x:c r="H5" s="19" t="str">
        <x:v>4.422</x:v>
      </x:c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19" t="str">
        <x:v>Phenylacetic Acid</x:v>
      </x:c>
      <x:c r="B6" s="19" t="str">
        <x:v>0.369</x:v>
      </x:c>
      <x:c r="C6" s="19" t="str">
        <x:v>0.911</x:v>
      </x:c>
      <x:c r="D6" s="19" t="str">
        <x:v>0.030</x:v>
      </x:c>
      <x:c r="E6" s="19" t="str">
        <x:v>0.897</x:v>
      </x:c>
      <x:c r="F6" s="19" t="str">
        <x:v>0.197</x:v>
      </x:c>
      <x:c r="G6" s="19" t="str">
        <x:v>0.369</x:v>
      </x:c>
      <x:c r="H6" s="19" t="str">
        <x:v>3.354</x:v>
      </x:c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19" t="str">
        <x:v>Tryptamine</x:v>
      </x:c>
      <x:c r="B7" s="19" t="str">
        <x:v>0.548</x:v>
      </x:c>
      <x:c r="C7" s="19" t="str">
        <x:v>0.154</x:v>
      </x:c>
      <x:c r="D7" s="19" t="str">
        <x:v>0.257</x:v>
      </x:c>
      <x:c r="E7" s="19" t="str">
        <x:v>0.663</x:v>
      </x:c>
      <x:c r="F7" s="19" t="str">
        <x:v>0.379</x:v>
      </x:c>
      <x:c r="G7" s="19" t="str">
        <x:v>0.586</x:v>
      </x:c>
      <x:c r="H7" s="19" t="str">
        <x:v>4.510</x:v>
      </x:c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19" t="str">
        <x:v>Capric Acid</x:v>
      </x:c>
      <x:c r="B8" s="19" t="str">
        <x:v>0.408</x:v>
      </x:c>
      <x:c r="C8" s="19" t="str">
        <x:v>0.225</x:v>
      </x:c>
      <x:c r="D8" s="19" t="str">
        <x:v>0.072</x:v>
      </x:c>
      <x:c r="E8" s="19" t="str">
        <x:v>0.700</x:v>
      </x:c>
      <x:c r="F8" s="19" t="str">
        <x:v>0.353</x:v>
      </x:c>
      <x:c r="G8" s="19" t="str">
        <x:v>0.157</x:v>
      </x:c>
      <x:c r="H8" s="19" t="str">
        <x:v>4.766</x:v>
      </x:c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19" t="str">
        <x:v>3-Indolepropionic acid</x:v>
      </x:c>
      <x:c r="B9" s="19" t="str">
        <x:v>0.520</x:v>
      </x:c>
      <x:c r="C9" s="19" t="str">
        <x:v>0.471</x:v>
      </x:c>
      <x:c r="D9" s="19" t="str">
        <x:v>0.033</x:v>
      </x:c>
      <x:c r="E9" s="19" t="str">
        <x:v>0.240</x:v>
      </x:c>
      <x:c r="F9" s="19" t="str">
        <x:v>0.454</x:v>
      </x:c>
      <x:c r="G9" s="19" t="str">
        <x:v>0.301</x:v>
      </x:c>
      <x:c r="H9" s="19" t="str">
        <x:v>3.956</x:v>
      </x:c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19" t="str">
        <x:v>Tyrosine</x:v>
      </x:c>
      <x:c r="B10" s="19" t="str">
        <x:v>0.546</x:v>
      </x:c>
      <x:c r="C10" s="19" t="str">
        <x:v>0.030</x:v>
      </x:c>
      <x:c r="D10" s="19" t="str">
        <x:v>0.116</x:v>
      </x:c>
      <x:c r="E10" s="19" t="str">
        <x:v>0.732</x:v>
      </x:c>
      <x:c r="F10" s="19" t="str">
        <x:v>0.082</x:v>
      </x:c>
      <x:c r="G10" s="19" t="str">
        <x:v>0.146</x:v>
      </x:c>
      <x:c r="H10" s="19" t="str">
        <x:v>3.614</x:v>
      </x:c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19" t="str">
        <x:v>Phenylalanine</x:v>
      </x:c>
      <x:c r="B11" s="19" t="str">
        <x:v>0.547</x:v>
      </x:c>
      <x:c r="C11" s="19" t="str">
        <x:v>0.044</x:v>
      </x:c>
      <x:c r="D11" s="19" t="str">
        <x:v>0.118</x:v>
      </x:c>
      <x:c r="E11" s="19" t="str">
        <x:v>0.785</x:v>
      </x:c>
      <x:c r="F11" s="19" t="str">
        <x:v>0.065</x:v>
      </x:c>
      <x:c r="G11" s="19" t="str">
        <x:v>0.148</x:v>
      </x:c>
      <x:c r="H11" s="19" t="str">
        <x:v>3.806</x:v>
      </x:c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19" t="str">
        <x:v>3-Hydroxybenzoic acid</x:v>
      </x:c>
      <x:c r="B12" s="19" t="str">
        <x:v>0.476</x:v>
      </x:c>
      <x:c r="C12" s="19" t="str">
        <x:v>0.449</x:v>
      </x:c>
      <x:c r="D12" s="19" t="str">
        <x:v>0.051</x:v>
      </x:c>
      <x:c r="E12" s="19" t="str">
        <x:v>0.556</x:v>
      </x:c>
      <x:c r="F12" s="19" t="str">
        <x:v>0.396</x:v>
      </x:c>
      <x:c r="G12" s="19" t="str">
        <x:v>0.288</x:v>
      </x:c>
      <x:c r="H12" s="19" t="str">
        <x:v>3.408</x:v>
      </x:c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19" t="str">
        <x:v>Valeric acid</x:v>
      </x:c>
      <x:c r="B13" s="19" t="str">
        <x:v>0.326</x:v>
      </x:c>
      <x:c r="C13" s="19" t="str">
        <x:v>0.227</x:v>
      </x:c>
      <x:c r="D13" s="19" t="str">
        <x:v>0.031</x:v>
      </x:c>
      <x:c r="E13" s="19" t="str">
        <x:v>0.495</x:v>
      </x:c>
      <x:c r="F13" s="19" t="str">
        <x:v>0.382</x:v>
      </x:c>
      <x:c r="G13" s="19" t="str">
        <x:v>0.197</x:v>
      </x:c>
      <x:c r="H13" s="19" t="str">
        <x:v>3.442</x:v>
      </x:c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19" t="str">
        <x:v>Caproic Acid</x:v>
      </x:c>
      <x:c r="B14" s="19" t="str">
        <x:v>0.379</x:v>
      </x:c>
      <x:c r="C14" s="19" t="str">
        <x:v>0.233</x:v>
      </x:c>
      <x:c r="D14" s="19" t="str">
        <x:v>0.041</x:v>
      </x:c>
      <x:c r="E14" s="19" t="str">
        <x:v>0.522</x:v>
      </x:c>
      <x:c r="F14" s="19" t="str">
        <x:v>0.398</x:v>
      </x:c>
      <x:c r="G14" s="19" t="str">
        <x:v>0.198</x:v>
      </x:c>
      <x:c r="H14" s="19" t="str">
        <x:v>3.488</x:v>
      </x:c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19" t="str">
        <x:v>2-Hydroxy-3-(4-hydroxyphenyl)propanoic acid</x:v>
      </x:c>
      <x:c r="B15" s="19" t="str">
        <x:v>0.373</x:v>
      </x:c>
      <x:c r="C15" s="19" t="str">
        <x:v>0.056</x:v>
      </x:c>
      <x:c r="D15" s="19" t="str">
        <x:v>0.072</x:v>
      </x:c>
      <x:c r="E15" s="19" t="str">
        <x:v>0.278</x:v>
      </x:c>
      <x:c r="F15" s="19" t="str">
        <x:v>0.178</x:v>
      </x:c>
      <x:c r="G15" s="19" t="str">
        <x:v>0.164</x:v>
      </x:c>
      <x:c r="H15" s="19" t="str">
        <x:v>3.474</x:v>
      </x:c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19" t="str">
        <x:v>3-(4-Hydroxyphenyl)propionic acid</x:v>
      </x:c>
      <x:c r="B16" s="19" t="str">
        <x:v>0.409</x:v>
      </x:c>
      <x:c r="C16" s="19" t="str">
        <x:v>0.103</x:v>
      </x:c>
      <x:c r="D16" s="19" t="str">
        <x:v>0.044</x:v>
      </x:c>
      <x:c r="E16" s="19" t="str">
        <x:v>0.466</x:v>
      </x:c>
      <x:c r="F16" s="19" t="str">
        <x:v>0.320</x:v>
      </x:c>
      <x:c r="G16" s="19" t="str">
        <x:v>0.193</x:v>
      </x:c>
      <x:c r="H16" s="19" t="str">
        <x:v>3.379</x:v>
      </x:c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19" t="str">
        <x:v>Myristic Acid</x:v>
      </x:c>
      <x:c r="B17" s="19" t="str">
        <x:v>0.417</x:v>
      </x:c>
      <x:c r="C17" s="19" t="str">
        <x:v>0.198</x:v>
      </x:c>
      <x:c r="D17" s="19" t="str">
        <x:v>0.128</x:v>
      </x:c>
      <x:c r="E17" s="19" t="str">
        <x:v>0.860</x:v>
      </x:c>
      <x:c r="F17" s="19" t="str">
        <x:v>0.293</x:v>
      </x:c>
      <x:c r="G17" s="19" t="str">
        <x:v>0.134</x:v>
      </x:c>
      <x:c r="H17" s="19" t="str">
        <x:v>5.366</x:v>
      </x:c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19" t="str">
        <x:v>5-Methoxyindole-3-acetic acid</x:v>
      </x:c>
      <x:c r="B18" s="19" t="str">
        <x:v>0.614</x:v>
      </x:c>
      <x:c r="C18" s="19" t="str">
        <x:v>0.990</x:v>
      </x:c>
      <x:c r="D18" s="19" t="str">
        <x:v>0.058</x:v>
      </x:c>
      <x:c r="E18" s="19" t="str">
        <x:v>0.236</x:v>
      </x:c>
      <x:c r="F18" s="19" t="str">
        <x:v>0.385</x:v>
      </x:c>
      <x:c r="G18" s="19" t="str">
        <x:v>0.731</x:v>
      </x:c>
      <x:c r="H18" s="19" t="str">
        <x:v>3.814</x:v>
      </x:c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19" t="str">
        <x:v>Arctigenin</x:v>
      </x:c>
      <x:c r="B19" s="19" t="str">
        <x:v>0.942</x:v>
      </x:c>
      <x:c r="C19" s="19" t="str">
        <x:v>0.950</x:v>
      </x:c>
      <x:c r="D19" s="19" t="str">
        <x:v>0.162</x:v>
      </x:c>
      <x:c r="E19" s="19" t="str">
        <x:v>0.904</x:v>
      </x:c>
      <x:c r="F19" s="19" t="str">
        <x:v>0.724</x:v>
      </x:c>
      <x:c r="G19" s="19" t="str">
        <x:v>0.270</x:v>
      </x:c>
      <x:c r="H19" s="19" t="str">
        <x:v>5.067</x:v>
      </x:c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19" t="str">
        <x:v>N-Acetyl-L-aspartic acid</x:v>
      </x:c>
      <x:c r="B20" s="19" t="str">
        <x:v>0.524</x:v>
      </x:c>
      <x:c r="C20" s="19" t="str">
        <x:v>0.583</x:v>
      </x:c>
      <x:c r="D20" s="19" t="str">
        <x:v>0.002</x:v>
      </x:c>
      <x:c r="E20" s="19" t="str">
        <x:v>0.888</x:v>
      </x:c>
      <x:c r="F20" s="19" t="str">
        <x:v>0.116</x:v>
      </x:c>
      <x:c r="G20" s="19" t="str">
        <x:v>0.045</x:v>
      </x:c>
      <x:c r="H20" s="19" t="str">
        <x:v>3.747</x:v>
      </x:c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  <x:row r="21">
      <x:c r="A21" s="19" t="str">
        <x:v>Indole-3-lactic acid</x:v>
      </x:c>
      <x:c r="B21" s="19" t="str">
        <x:v>0.501</x:v>
      </x:c>
      <x:c r="C21" s="19" t="str">
        <x:v>0.312</x:v>
      </x:c>
      <x:c r="D21" s="19" t="str">
        <x:v>0.041</x:v>
      </x:c>
      <x:c r="E21" s="19" t="str">
        <x:v>0.091</x:v>
      </x:c>
      <x:c r="F21" s="19" t="str">
        <x:v>0.248</x:v>
      </x:c>
      <x:c r="G21" s="19" t="str">
        <x:v>0.285</x:v>
      </x:c>
      <x:c r="H21" s="19" t="str">
        <x:v>4.079</x:v>
      </x:c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</x:row>
    <x:row r="22">
      <x:c r="A22" s="19" t="str">
        <x:v>1,3-Diphenylpropan-2-ol</x:v>
      </x:c>
      <x:c r="B22" s="19" t="str">
        <x:v>0.385</x:v>
      </x:c>
      <x:c r="C22" s="19" t="str">
        <x:v>0.006</x:v>
      </x:c>
      <x:c r="D22" s="19" t="str">
        <x:v>0.553</x:v>
      </x:c>
      <x:c r="E22" s="19" t="str">
        <x:v>0.249</x:v>
      </x:c>
      <x:c r="F22" s="19" t="str">
        <x:v>0.007</x:v>
      </x:c>
      <x:c r="G22" s="19" t="str">
        <x:v>0.047</x:v>
      </x:c>
      <x:c r="H22" s="19" t="str">
        <x:v>4.404</x:v>
      </x:c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</x:row>
    <x:row r="23">
      <x:c r="A23" s="19" t="str">
        <x:v>Arachidonic Acid</x:v>
      </x:c>
      <x:c r="B23" s="19" t="str">
        <x:v>0.003</x:v>
      </x:c>
      <x:c r="C23" s="19" t="str">
        <x:v>0.000</x:v>
      </x:c>
      <x:c r="D23" s="19" t="str">
        <x:v>0.372</x:v>
      </x:c>
      <x:c r="E23" s="19" t="str">
        <x:v>1.000</x:v>
      </x:c>
      <x:c r="F23" s="19" t="str">
        <x:v>0.000</x:v>
      </x:c>
      <x:c r="G23" s="19" t="str">
        <x:v>0.010</x:v>
      </x:c>
      <x:c r="H23" s="19" t="str">
        <x:v>5.413</x:v>
      </x:c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</x:row>
    <x:row r="24">
      <x:c r="A24" s="19" t="str">
        <x:v>Doconexent</x:v>
      </x:c>
      <x:c r="B24" s="19" t="str">
        <x:v>0.000</x:v>
      </x:c>
      <x:c r="C24" s="19" t="str">
        <x:v>0.000</x:v>
      </x:c>
      <x:c r="D24" s="19" t="str">
        <x:v>0.621</x:v>
      </x:c>
      <x:c r="E24" s="19" t="str">
        <x:v>1.000</x:v>
      </x:c>
      <x:c r="F24" s="19" t="str">
        <x:v>0.000</x:v>
      </x:c>
      <x:c r="G24" s="19" t="str">
        <x:v>0.016</x:v>
      </x:c>
      <x:c r="H24" s="19" t="str">
        <x:v>5.502</x:v>
      </x:c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</x:row>
    <x:row r="25">
      <x:c r="A25" s="19" t="str">
        <x:v>Palmitoleic Acid</x:v>
      </x:c>
      <x:c r="B25" s="19" t="str">
        <x:v>0.232</x:v>
      </x:c>
      <x:c r="C25" s="19" t="str">
        <x:v>0.008</x:v>
      </x:c>
      <x:c r="D25" s="19" t="str">
        <x:v>0.132</x:v>
      </x:c>
      <x:c r="E25" s="19" t="str">
        <x:v>0.997</x:v>
      </x:c>
      <x:c r="F25" s="19" t="str">
        <x:v>0.114</x:v>
      </x:c>
      <x:c r="G25" s="19" t="str">
        <x:v>0.083</x:v>
      </x:c>
      <x:c r="H25" s="19" t="str">
        <x:v>5.406</x:v>
      </x:c>
      <x:c r="I25" s="19"/>
      <x:c r="J25" s="19"/>
      <x:c r="K25" s="19"/>
      <x:c r="L25" s="19"/>
      <x:c r="M25" s="19"/>
      <x:c r="N25" s="19"/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</x:row>
    <x:row r="26">
      <x:c r="A26" s="19" t="str">
        <x:v>8-Prenylnaringenin</x:v>
      </x:c>
      <x:c r="B26" s="19" t="str">
        <x:v>0.809</x:v>
      </x:c>
      <x:c r="C26" s="19" t="str">
        <x:v>0.560</x:v>
      </x:c>
      <x:c r="D26" s="19" t="str">
        <x:v>0.073</x:v>
      </x:c>
      <x:c r="E26" s="19" t="str">
        <x:v>0.978</x:v>
      </x:c>
      <x:c r="F26" s="19" t="str">
        <x:v>0.292</x:v>
      </x:c>
      <x:c r="G26" s="19" t="str">
        <x:v>0.886</x:v>
      </x:c>
      <x:c r="H26" s="19" t="str">
        <x:v>5.862</x:v>
      </x:c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</x:row>
    <x:row r="27">
      <x:c r="A27" s="19" t="str">
        <x:v>N,O-Bis-(trimethylsilyl)phenylalanine</x:v>
      </x:c>
      <x:c r="B27" s="19" t="str">
        <x:v>0.477</x:v>
      </x:c>
      <x:c r="C27" s="19" t="str">
        <x:v>0.015</x:v>
      </x:c>
      <x:c r="D27" s="19" t="str">
        <x:v>0.260</x:v>
      </x:c>
      <x:c r="E27" s="19" t="str">
        <x:v>0.093</x:v>
      </x:c>
      <x:c r="F27" s="19" t="str">
        <x:v>0.062</x:v>
      </x:c>
      <x:c r="G27" s="19" t="str">
        <x:v>0.067</x:v>
      </x:c>
      <x:c r="H27" s="19" t="str">
        <x:v>5.595</x:v>
      </x:c>
      <x:c r="I27" s="19"/>
      <x:c r="J27" s="19"/>
      <x:c r="K27" s="19"/>
      <x:c r="L27" s="19"/>
      <x:c r="M27" s="19"/>
      <x:c r="N27" s="19"/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19"/>
      <x:c r="Z27" s="19"/>
    </x:row>
    <x:row r="28">
      <x:c r="A28" s="19" t="str">
        <x:v>(10-[(Acetyloxy)methyl]-9-anthryl)methyl acetate</x:v>
      </x:c>
      <x:c r="B28" s="19" t="str">
        <x:v>0.346</x:v>
      </x:c>
      <x:c r="C28" s="19" t="str">
        <x:v>0.929</x:v>
      </x:c>
      <x:c r="D28" s="19" t="str">
        <x:v>0.064</x:v>
      </x:c>
      <x:c r="E28" s="19" t="str">
        <x:v>0.988</x:v>
      </x:c>
      <x:c r="F28" s="19" t="str">
        <x:v>0.979</x:v>
      </x:c>
      <x:c r="G28" s="19" t="str">
        <x:v>0.147</x:v>
      </x:c>
      <x:c r="H28" s="19" t="str">
        <x:v>5.152</x:v>
      </x:c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</x:row>
    <x:row r="29">
      <x:c r="A29" s="19" t="str">
        <x:v>3-Hydroxy-4-methoxybenzenepropanoic acid</x:v>
      </x:c>
      <x:c r="B29" s="19" t="str">
        <x:v>0.473</x:v>
      </x:c>
      <x:c r="C29" s="19" t="str">
        <x:v>0.308</x:v>
      </x:c>
      <x:c r="D29" s="19" t="str">
        <x:v>0.031</x:v>
      </x:c>
      <x:c r="E29" s="19" t="str">
        <x:v>0.488</x:v>
      </x:c>
      <x:c r="F29" s="19" t="str">
        <x:v>0.379</x:v>
      </x:c>
      <x:c r="G29" s="19" t="str">
        <x:v>0.180</x:v>
      </x:c>
      <x:c r="H29" s="19" t="str">
        <x:v>3.794</x:v>
      </x:c>
      <x:c r="I29" s="19"/>
      <x:c r="J29" s="19"/>
      <x:c r="K29" s="19"/>
      <x:c r="L29" s="19"/>
      <x:c r="M29" s="19"/>
      <x:c r="N29" s="19"/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19"/>
    </x:row>
    <x:row r="30">
      <x:c r="A30" s="19" t="str">
        <x:v>3-(1H-indol-3-yl)propanoate</x:v>
      </x:c>
      <x:c r="B30" s="19" t="str">
        <x:v>0.520</x:v>
      </x:c>
      <x:c r="C30" s="19" t="str">
        <x:v>0.471</x:v>
      </x:c>
      <x:c r="D30" s="19" t="str">
        <x:v>0.033</x:v>
      </x:c>
      <x:c r="E30" s="19" t="str">
        <x:v>0.240</x:v>
      </x:c>
      <x:c r="F30" s="19" t="str">
        <x:v>0.454</x:v>
      </x:c>
      <x:c r="G30" s="19" t="str">
        <x:v>0.301</x:v>
      </x:c>
      <x:c r="H30" s="19" t="str">
        <x:v>3.956</x:v>
      </x:c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</x:row>
    <x:row r="31">
      <x:c r="A31" s="19" t="str">
        <x:v>Apigenin</x:v>
      </x:c>
      <x:c r="B31" s="19" t="str">
        <x:v>0.435</x:v>
      </x:c>
      <x:c r="C31" s="19" t="str">
        <x:v>0.743</x:v>
      </x:c>
      <x:c r="D31" s="19" t="str">
        <x:v>0.100</x:v>
      </x:c>
      <x:c r="E31" s="19" t="str">
        <x:v>0.645</x:v>
      </x:c>
      <x:c r="F31" s="19" t="str">
        <x:v>0.793</x:v>
      </x:c>
      <x:c r="G31" s="19" t="str">
        <x:v>0.520</x:v>
      </x:c>
      <x:c r="H31" s="19" t="str">
        <x:v>4.353</x:v>
      </x:c>
      <x:c r="I31" s="19"/>
      <x:c r="J31" s="19"/>
      <x:c r="K31" s="19"/>
      <x:c r="L31" s="19"/>
      <x:c r="M31" s="19"/>
      <x:c r="N31" s="19"/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19"/>
    </x:row>
    <x:row r="32">
      <x:c r="A32" s="19" t="str">
        <x:v>Luteolin</x:v>
      </x:c>
      <x:c r="B32" s="19" t="str">
        <x:v>0.367</x:v>
      </x:c>
      <x:c r="C32" s="19" t="str">
        <x:v>0.796</x:v>
      </x:c>
      <x:c r="D32" s="19" t="str">
        <x:v>0.069</x:v>
      </x:c>
      <x:c r="E32" s="19" t="str">
        <x:v>0.929</x:v>
      </x:c>
      <x:c r="F32" s="19" t="str">
        <x:v>0.689</x:v>
      </x:c>
      <x:c r="G32" s="19" t="str">
        <x:v>0.510</x:v>
      </x:c>
      <x:c r="H32" s="19" t="str">
        <x:v>4.522</x:v>
      </x:c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</x:row>
    <x:row r="33">
      <x:c r="A33" s="19" t="str">
        <x:v>Linoleic Acid</x:v>
      </x:c>
      <x:c r="B33" s="19" t="str">
        <x:v>0.138</x:v>
      </x:c>
      <x:c r="C33" s="19" t="str">
        <x:v>0.000</x:v>
      </x:c>
      <x:c r="D33" s="19" t="str">
        <x:v>0.159</x:v>
      </x:c>
      <x:c r="E33" s="19" t="str">
        <x:v>1.000</x:v>
      </x:c>
      <x:c r="F33" s="19" t="str">
        <x:v>0.022</x:v>
      </x:c>
      <x:c r="G33" s="19" t="str">
        <x:v>0.033</x:v>
      </x:c>
      <x:c r="H33" s="19" t="str">
        <x:v>5.474</x:v>
      </x:c>
      <x:c r="I33" s="19"/>
      <x:c r="J33" s="19"/>
      <x:c r="K33" s="19"/>
      <x:c r="L33" s="19"/>
      <x:c r="M33" s="19"/>
      <x:c r="N33" s="19"/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19"/>
    </x:row>
    <x:row r="34">
      <x:c r="A34" s="19" t="str">
        <x:v>Kaempferol</x:v>
      </x:c>
      <x:c r="B34" s="19" t="str">
        <x:v>0.386</x:v>
      </x:c>
      <x:c r="C34" s="19" t="str">
        <x:v>0.703</x:v>
      </x:c>
      <x:c r="D34" s="19" t="str">
        <x:v>0.069</x:v>
      </x:c>
      <x:c r="E34" s="19" t="str">
        <x:v>0.621</x:v>
      </x:c>
      <x:c r="F34" s="19" t="str">
        <x:v>0.716</x:v>
      </x:c>
      <x:c r="G34" s="19" t="str">
        <x:v>0.488</x:v>
      </x:c>
      <x:c r="H34" s="19" t="str">
        <x:v>4.376</x:v>
      </x:c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</x:row>
    <x:row r="35">
      <x:c r="A35" s="19" t="str">
        <x:v>Naringenin chalcone</x:v>
      </x:c>
      <x:c r="B35" s="19" t="str">
        <x:v>0.446</x:v>
      </x:c>
      <x:c r="C35" s="19" t="str">
        <x:v>0.365</x:v>
      </x:c>
      <x:c r="D35" s="19" t="str">
        <x:v>0.128</x:v>
      </x:c>
      <x:c r="E35" s="19" t="str">
        <x:v>0.756</x:v>
      </x:c>
      <x:c r="F35" s="19" t="str">
        <x:v>0.229</x:v>
      </x:c>
      <x:c r="G35" s="19" t="str">
        <x:v>0.189</x:v>
      </x:c>
      <x:c r="H35" s="19" t="str">
        <x:v>5.103</x:v>
      </x:c>
      <x:c r="I35" s="19"/>
      <x:c r="J35" s="19"/>
      <x:c r="K35" s="19"/>
      <x:c r="L35" s="19"/>
      <x:c r="M35" s="19"/>
      <x:c r="N35" s="19"/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  <x:c r="Z35" s="19"/>
    </x:row>
    <x:row r="36">
      <x:c r="A36" s="19" t="str">
        <x:v>Diosmetin</x:v>
      </x:c>
      <x:c r="B36" s="19" t="str">
        <x:v>0.423</x:v>
      </x:c>
      <x:c r="C36" s="19" t="str">
        <x:v>0.741</x:v>
      </x:c>
      <x:c r="D36" s="19" t="str">
        <x:v>0.078</x:v>
      </x:c>
      <x:c r="E36" s="19" t="str">
        <x:v>0.687</x:v>
      </x:c>
      <x:c r="F36" s="19" t="str">
        <x:v>0.768</x:v>
      </x:c>
      <x:c r="G36" s="19" t="str">
        <x:v>0.472</x:v>
      </x:c>
      <x:c r="H36" s="19" t="str">
        <x:v>4.530</x:v>
      </x:c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</x:row>
    <x:row r="37">
      <x:c r="A37" s="19" t="str">
        <x:v>Daidzein</x:v>
      </x:c>
      <x:c r="B37" s="19" t="str">
        <x:v>0.474</x:v>
      </x:c>
      <x:c r="C37" s="19" t="str">
        <x:v>0.443</x:v>
      </x:c>
      <x:c r="D37" s="19" t="str">
        <x:v>0.194</x:v>
      </x:c>
      <x:c r="E37" s="19" t="str">
        <x:v>0.481</x:v>
      </x:c>
      <x:c r="F37" s="19" t="str">
        <x:v>0.744</x:v>
      </x:c>
      <x:c r="G37" s="19" t="str">
        <x:v>0.569</x:v>
      </x:c>
      <x:c r="H37" s="19" t="str">
        <x:v>4.436</x:v>
      </x:c>
      <x:c r="I37" s="19"/>
      <x:c r="J37" s="19"/>
      <x:c r="K37" s="19"/>
      <x:c r="L37" s="19"/>
      <x:c r="M37" s="19"/>
      <x:c r="N37" s="19"/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  <x:c r="Z37" s="19"/>
    </x:row>
    <x:row r="38">
      <x:c r="A38" s="19" t="str">
        <x:v>Icaritin</x:v>
      </x:c>
      <x:c r="B38" s="19" t="str">
        <x:v>0.464</x:v>
      </x:c>
      <x:c r="C38" s="19" t="str">
        <x:v>0.894</x:v>
      </x:c>
      <x:c r="D38" s="19" t="str">
        <x:v>0.043</x:v>
      </x:c>
      <x:c r="E38" s="19" t="str">
        <x:v>0.750</x:v>
      </x:c>
      <x:c r="F38" s="19" t="str">
        <x:v>0.547</x:v>
      </x:c>
      <x:c r="G38" s="19" t="str">
        <x:v>0.671</x:v>
      </x:c>
      <x:c r="H38" s="19" t="str">
        <x:v>5.913</x:v>
      </x:c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</x:row>
    <x:row r="39">
      <x:c r="A39" s="19" t="str">
        <x:v>(R)-3-(4-Hydroxyphenyl)lactate</x:v>
      </x:c>
      <x:c r="B39" s="19" t="str">
        <x:v>0.588</x:v>
      </x:c>
      <x:c r="C39" s="19" t="str">
        <x:v>0.073</x:v>
      </x:c>
      <x:c r="D39" s="19" t="str">
        <x:v>0.081</x:v>
      </x:c>
      <x:c r="E39" s="19" t="str">
        <x:v>0.617</x:v>
      </x:c>
      <x:c r="F39" s="19" t="str">
        <x:v>0.094</x:v>
      </x:c>
      <x:c r="G39" s="19" t="str">
        <x:v>0.420</x:v>
      </x:c>
      <x:c r="H39" s="19" t="str">
        <x:v>3.529</x:v>
      </x:c>
      <x:c r="I39" s="19"/>
      <x:c r="J39" s="19"/>
      <x:c r="K39" s="19"/>
      <x:c r="L39" s="19"/>
      <x:c r="M39" s="19"/>
      <x:c r="N39" s="19"/>
      <x:c r="O39" s="19"/>
      <x:c r="P39" s="19"/>
      <x:c r="Q39" s="19"/>
      <x:c r="R39" s="19"/>
      <x:c r="S39" s="19"/>
      <x:c r="T39" s="19"/>
      <x:c r="U39" s="19"/>
      <x:c r="V39" s="19"/>
      <x:c r="W39" s="19"/>
      <x:c r="X39" s="19"/>
      <x:c r="Y39" s="19"/>
      <x:c r="Z39" s="19"/>
    </x:row>
    <x:row r="40">
      <x:c r="A40" s="19" t="str">
        <x:v>Ethyl phenyllactate, (-)-</x:v>
      </x:c>
      <x:c r="B40" s="19" t="str">
        <x:v>0.413</x:v>
      </x:c>
      <x:c r="C40" s="19" t="str">
        <x:v>0.026</x:v>
      </x:c>
      <x:c r="D40" s="19" t="str">
        <x:v>0.315</x:v>
      </x:c>
      <x:c r="E40" s="19" t="str">
        <x:v>0.694</x:v>
      </x:c>
      <x:c r="F40" s="19" t="str">
        <x:v>0.023</x:v>
      </x:c>
      <x:c r="G40" s="19" t="str">
        <x:v>0.016</x:v>
      </x:c>
      <x:c r="H40" s="19" t="str">
        <x:v>3.892</x:v>
      </x:c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</x:row>
    <x:row r="41">
      <x:c r="A41" s="19" t="str">
        <x:v>10-Oxo-11-octadecenoic acid</x:v>
      </x:c>
      <x:c r="B41" s="19" t="str">
        <x:v>0.422</x:v>
      </x:c>
      <x:c r="C41" s="19" t="str">
        <x:v>0.063</x:v>
      </x:c>
      <x:c r="D41" s="19" t="str">
        <x:v>0.146</x:v>
      </x:c>
      <x:c r="E41" s="19" t="str">
        <x:v>0.933</x:v>
      </x:c>
      <x:c r="F41" s="19" t="str">
        <x:v>0.104</x:v>
      </x:c>
      <x:c r="G41" s="19" t="str">
        <x:v>0.064</x:v>
      </x:c>
      <x:c r="H41" s="19" t="str">
        <x:v>5.616</x:v>
      </x:c>
      <x:c r="I41" s="19"/>
      <x:c r="J41" s="19"/>
      <x:c r="K41" s="19"/>
      <x:c r="L41" s="19"/>
      <x:c r="M41" s="19"/>
      <x:c r="N41" s="19"/>
      <x:c r="O41" s="19"/>
      <x:c r="P41" s="19"/>
      <x:c r="Q41" s="19"/>
      <x:c r="R41" s="19"/>
      <x:c r="S41" s="19"/>
      <x:c r="T41" s="19"/>
      <x:c r="U41" s="19"/>
      <x:c r="V41" s="19"/>
      <x:c r="W41" s="19"/>
      <x:c r="X41" s="19"/>
      <x:c r="Y41" s="19"/>
      <x:c r="Z41" s="19"/>
    </x:row>
    <x:row r="42">
      <x:c r="A42" s="19" t="str">
        <x:v>H-HT, DILI, hERG, SkinSen, Carcinogenicity, and ROA are ADMETlab 3.0 classification outputs. The retrospective operational rule required all six outputs to be &lt; 0.5 and retained six metabolites; 0.5 is not a clinically validated safety threshold. LC50DM is the predicted 48-h Daphnia magna ecotoxicity endpoint and is reported separately; it is not mammalian LD50 or evidence of human safety.</x:v>
      </x:c>
      <x:c r="B42" s="19" t="str">
        <x:v>0.211</x:v>
      </x:c>
      <x:c r="C42" s="19" t="str">
        <x:v>0.009</x:v>
      </x:c>
      <x:c r="D42" s="19" t="str">
        <x:v>0.099</x:v>
      </x:c>
      <x:c r="E42" s="19" t="str">
        <x:v>0.996</x:v>
      </x:c>
      <x:c r="F42" s="19" t="str">
        <x:v>0.062</x:v>
      </x:c>
      <x:c r="G42" s="19" t="str">
        <x:v>0.043</x:v>
      </x:c>
      <x:c r="H42" s="19" t="str">
        <x:v>5.321</x:v>
      </x:c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  <x:c r="P43" s="19"/>
      <x:c r="Q43" s="19"/>
      <x:c r="R43" s="19"/>
      <x:c r="S43" s="19"/>
      <x:c r="T43" s="19"/>
      <x:c r="U43" s="19"/>
      <x:c r="V43" s="19"/>
      <x:c r="W43" s="19"/>
      <x:c r="X43" s="19"/>
      <x:c r="Y43" s="19"/>
      <x:c r="Z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  <x:c r="P45" s="19"/>
      <x:c r="Q45" s="19"/>
      <x:c r="R45" s="19"/>
      <x:c r="S45" s="19"/>
      <x:c r="T45" s="19"/>
      <x:c r="U45" s="19"/>
      <x:c r="V45" s="19"/>
      <x:c r="W45" s="19"/>
      <x:c r="X45" s="19"/>
      <x:c r="Y45" s="19"/>
      <x:c r="Z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  <x:c r="P47" s="19"/>
      <x:c r="Q47" s="19"/>
      <x:c r="R47" s="19"/>
      <x:c r="S47" s="19"/>
      <x:c r="T47" s="19"/>
      <x:c r="U47" s="19"/>
      <x:c r="V47" s="19"/>
      <x:c r="W47" s="19"/>
      <x:c r="X47" s="19"/>
      <x:c r="Y47" s="19"/>
      <x:c r="Z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  <x:c r="P49" s="19"/>
      <x:c r="Q49" s="19"/>
      <x:c r="R49" s="19"/>
      <x:c r="S49" s="19"/>
      <x:c r="T49" s="19"/>
      <x:c r="U49" s="19"/>
      <x:c r="V49" s="19"/>
      <x:c r="W49" s="19"/>
      <x:c r="X49" s="19"/>
      <x:c r="Y49" s="19"/>
      <x:c r="Z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9" t="str">
        <x:v>Metabolite</x:v>
      </x:c>
      <x:c r="B1" s="9" t="str">
        <x:v>H-HT</x:v>
      </x:c>
      <x:c r="C1" s="9" t="str">
        <x:v>DILI</x:v>
      </x:c>
      <x:c r="D1" s="9" t="str">
        <x:v>hERG</x:v>
      </x:c>
      <x:c r="E1" s="9" t="str">
        <x:v>SkinSen</x:v>
      </x:c>
      <x:c r="F1" s="9" t="str">
        <x:v>Carcinogenicity</x:v>
      </x:c>
      <x:c r="G1" s="9" t="str">
        <x:v>ROA</x:v>
      </x:c>
      <x:c r="H1" s="9" t="str">
        <x:v>All six &lt; 0.5</x:v>
      </x:c>
      <x:c r="I1" s="9" t="str">
        <x:v>Retained</x:v>
      </x:c>
    </x:row>
    <x:row r="2">
      <x:c r="A2" s="14" t="str">
        <x:v>3-Phenylpropionic acid</x:v>
      </x:c>
      <x:c r="B2" s="14" t="str">
        <x:v>0.396</x:v>
      </x:c>
      <x:c r="C2" s="14" t="str">
        <x:v>0.108</x:v>
      </x:c>
      <x:c r="D2" s="14" t="str">
        <x:v>0.051</x:v>
      </x:c>
      <x:c r="E2" s="14" t="str">
        <x:v>0.454</x:v>
      </x:c>
      <x:c r="F2" s="14" t="str">
        <x:v>0.234</x:v>
      </x:c>
      <x:c r="G2" s="14" t="str">
        <x:v>0.186</x:v>
      </x:c>
      <x:c r="H2" s="14" t="b">
        <x:f>AND(B2&lt;0.5,C2&lt;0.5,D2&lt;0.5,E2&lt;0.5,F2&lt;0.5,G2&lt;0.5)</x:f>
        <x:v>1</x:v>
      </x:c>
      <x:c r="I2" s="14" t="str">
        <x:f>IF(H2,"Yes","No")</x:f>
        <x:v>Yes</x:v>
      </x:c>
    </x:row>
    <x:row r="3">
      <x:c r="A3" s="14" t="str">
        <x:v>5,7-Dihydroxy-2-(4-hydroxyphenyl)chroman-4-one</x:v>
      </x:c>
      <x:c r="B3" s="14" t="str">
        <x:v>0.659</x:v>
      </x:c>
      <x:c r="C3" s="14" t="str">
        <x:v>0.334</x:v>
      </x:c>
      <x:c r="D3" s="14" t="str">
        <x:v>0.145</x:v>
      </x:c>
      <x:c r="E3" s="14" t="str">
        <x:v>0.708</x:v>
      </x:c>
      <x:c r="F3" s="14" t="str">
        <x:v>0.656</x:v>
      </x:c>
      <x:c r="G3" s="14" t="str">
        <x:v>0.595</x:v>
      </x:c>
      <x:c r="H3" s="14" t="b">
        <x:f>AND(B3&lt;0.5,C3&lt;0.5,D3&lt;0.5,E3&lt;0.5,F3&lt;0.5,G3&lt;0.5)</x:f>
        <x:v>0</x:v>
      </x:c>
      <x:c r="I3" s="14" t="str">
        <x:f>IF(H3,"Yes","No")</x:f>
        <x:v>No</x:v>
      </x:c>
    </x:row>
    <x:row r="4">
      <x:c r="A4" s="14" t="str">
        <x:v>Phenylacetic Acid</x:v>
      </x:c>
      <x:c r="B4" s="14" t="str">
        <x:v>0.369</x:v>
      </x:c>
      <x:c r="C4" s="14" t="str">
        <x:v>0.911</x:v>
      </x:c>
      <x:c r="D4" s="14" t="str">
        <x:v>0.030</x:v>
      </x:c>
      <x:c r="E4" s="14" t="str">
        <x:v>0.897</x:v>
      </x:c>
      <x:c r="F4" s="14" t="str">
        <x:v>0.197</x:v>
      </x:c>
      <x:c r="G4" s="14" t="str">
        <x:v>0.369</x:v>
      </x:c>
      <x:c r="H4" s="14" t="b">
        <x:f>AND(B4&lt;0.5,C4&lt;0.5,D4&lt;0.5,E4&lt;0.5,F4&lt;0.5,G4&lt;0.5)</x:f>
        <x:v>0</x:v>
      </x:c>
      <x:c r="I4" s="14" t="str">
        <x:f>IF(H4,"Yes","No")</x:f>
        <x:v>No</x:v>
      </x:c>
    </x:row>
    <x:row r="5">
      <x:c r="A5" s="14" t="str">
        <x:v>Tryptamine</x:v>
      </x:c>
      <x:c r="B5" s="14" t="str">
        <x:v>0.548</x:v>
      </x:c>
      <x:c r="C5" s="14" t="str">
        <x:v>0.154</x:v>
      </x:c>
      <x:c r="D5" s="14" t="str">
        <x:v>0.257</x:v>
      </x:c>
      <x:c r="E5" s="14" t="str">
        <x:v>0.663</x:v>
      </x:c>
      <x:c r="F5" s="14" t="str">
        <x:v>0.379</x:v>
      </x:c>
      <x:c r="G5" s="14" t="str">
        <x:v>0.586</x:v>
      </x:c>
      <x:c r="H5" s="14" t="b">
        <x:f>AND(B5&lt;0.5,C5&lt;0.5,D5&lt;0.5,E5&lt;0.5,F5&lt;0.5,G5&lt;0.5)</x:f>
        <x:v>0</x:v>
      </x:c>
      <x:c r="I5" s="14" t="str">
        <x:f>IF(H5,"Yes","No")</x:f>
        <x:v>No</x:v>
      </x:c>
    </x:row>
    <x:row r="6">
      <x:c r="A6" s="14" t="str">
        <x:v>Capric Acid</x:v>
      </x:c>
      <x:c r="B6" s="14" t="str">
        <x:v>0.408</x:v>
      </x:c>
      <x:c r="C6" s="14" t="str">
        <x:v>0.225</x:v>
      </x:c>
      <x:c r="D6" s="14" t="str">
        <x:v>0.072</x:v>
      </x:c>
      <x:c r="E6" s="14" t="str">
        <x:v>0.700</x:v>
      </x:c>
      <x:c r="F6" s="14" t="str">
        <x:v>0.353</x:v>
      </x:c>
      <x:c r="G6" s="14" t="str">
        <x:v>0.157</x:v>
      </x:c>
      <x:c r="H6" s="14" t="b">
        <x:f>AND(B6&lt;0.5,C6&lt;0.5,D6&lt;0.5,E6&lt;0.5,F6&lt;0.5,G6&lt;0.5)</x:f>
        <x:v>0</x:v>
      </x:c>
      <x:c r="I6" s="14" t="str">
        <x:f>IF(H6,"Yes","No")</x:f>
        <x:v>No</x:v>
      </x:c>
    </x:row>
    <x:row r="7">
      <x:c r="A7" s="14" t="str">
        <x:v>3-Indolepropionic acid</x:v>
      </x:c>
      <x:c r="B7" s="14" t="str">
        <x:v>0.520</x:v>
      </x:c>
      <x:c r="C7" s="14" t="str">
        <x:v>0.471</x:v>
      </x:c>
      <x:c r="D7" s="14" t="str">
        <x:v>0.033</x:v>
      </x:c>
      <x:c r="E7" s="14" t="str">
        <x:v>0.240</x:v>
      </x:c>
      <x:c r="F7" s="14" t="str">
        <x:v>0.454</x:v>
      </x:c>
      <x:c r="G7" s="14" t="str">
        <x:v>0.301</x:v>
      </x:c>
      <x:c r="H7" s="14" t="b">
        <x:f>AND(B7&lt;0.5,C7&lt;0.5,D7&lt;0.5,E7&lt;0.5,F7&lt;0.5,G7&lt;0.5)</x:f>
        <x:v>0</x:v>
      </x:c>
      <x:c r="I7" s="14" t="str">
        <x:f>IF(H7,"Yes","No")</x:f>
        <x:v>No</x:v>
      </x:c>
    </x:row>
    <x:row r="8">
      <x:c r="A8" s="14" t="str">
        <x:v>Tyrosine</x:v>
      </x:c>
      <x:c r="B8" s="14" t="str">
        <x:v>0.546</x:v>
      </x:c>
      <x:c r="C8" s="14" t="str">
        <x:v>0.030</x:v>
      </x:c>
      <x:c r="D8" s="14" t="str">
        <x:v>0.116</x:v>
      </x:c>
      <x:c r="E8" s="14" t="str">
        <x:v>0.732</x:v>
      </x:c>
      <x:c r="F8" s="14" t="str">
        <x:v>0.082</x:v>
      </x:c>
      <x:c r="G8" s="14" t="str">
        <x:v>0.146</x:v>
      </x:c>
      <x:c r="H8" s="14" t="b">
        <x:f>AND(B8&lt;0.5,C8&lt;0.5,D8&lt;0.5,E8&lt;0.5,F8&lt;0.5,G8&lt;0.5)</x:f>
        <x:v>0</x:v>
      </x:c>
      <x:c r="I8" s="14" t="str">
        <x:f>IF(H8,"Yes","No")</x:f>
        <x:v>No</x:v>
      </x:c>
    </x:row>
    <x:row r="9">
      <x:c r="A9" s="14" t="str">
        <x:v>Phenylalanine</x:v>
      </x:c>
      <x:c r="B9" s="14" t="str">
        <x:v>0.547</x:v>
      </x:c>
      <x:c r="C9" s="14" t="str">
        <x:v>0.044</x:v>
      </x:c>
      <x:c r="D9" s="14" t="str">
        <x:v>0.118</x:v>
      </x:c>
      <x:c r="E9" s="14" t="str">
        <x:v>0.785</x:v>
      </x:c>
      <x:c r="F9" s="14" t="str">
        <x:v>0.065</x:v>
      </x:c>
      <x:c r="G9" s="14" t="str">
        <x:v>0.148</x:v>
      </x:c>
      <x:c r="H9" s="14" t="b">
        <x:f>AND(B9&lt;0.5,C9&lt;0.5,D9&lt;0.5,E9&lt;0.5,F9&lt;0.5,G9&lt;0.5)</x:f>
        <x:v>0</x:v>
      </x:c>
      <x:c r="I9" s="14" t="str">
        <x:f>IF(H9,"Yes","No")</x:f>
        <x:v>No</x:v>
      </x:c>
    </x:row>
    <x:row r="10">
      <x:c r="A10" s="14" t="str">
        <x:v>3-Hydroxybenzoic acid</x:v>
      </x:c>
      <x:c r="B10" s="14" t="str">
        <x:v>0.476</x:v>
      </x:c>
      <x:c r="C10" s="14" t="str">
        <x:v>0.449</x:v>
      </x:c>
      <x:c r="D10" s="14" t="str">
        <x:v>0.051</x:v>
      </x:c>
      <x:c r="E10" s="14" t="str">
        <x:v>0.556</x:v>
      </x:c>
      <x:c r="F10" s="14" t="str">
        <x:v>0.396</x:v>
      </x:c>
      <x:c r="G10" s="14" t="str">
        <x:v>0.288</x:v>
      </x:c>
      <x:c r="H10" s="14" t="b">
        <x:f>AND(B10&lt;0.5,C10&lt;0.5,D10&lt;0.5,E10&lt;0.5,F10&lt;0.5,G10&lt;0.5)</x:f>
        <x:v>0</x:v>
      </x:c>
      <x:c r="I10" s="14" t="str">
        <x:f>IF(H10,"Yes","No")</x:f>
        <x:v>No</x:v>
      </x:c>
    </x:row>
    <x:row r="11">
      <x:c r="A11" s="14" t="str">
        <x:v>Valeric acid</x:v>
      </x:c>
      <x:c r="B11" s="14" t="str">
        <x:v>0.326</x:v>
      </x:c>
      <x:c r="C11" s="14" t="str">
        <x:v>0.227</x:v>
      </x:c>
      <x:c r="D11" s="14" t="str">
        <x:v>0.031</x:v>
      </x:c>
      <x:c r="E11" s="14" t="str">
        <x:v>0.495</x:v>
      </x:c>
      <x:c r="F11" s="14" t="str">
        <x:v>0.382</x:v>
      </x:c>
      <x:c r="G11" s="14" t="str">
        <x:v>0.197</x:v>
      </x:c>
      <x:c r="H11" s="14" t="b">
        <x:f>AND(B11&lt;0.5,C11&lt;0.5,D11&lt;0.5,E11&lt;0.5,F11&lt;0.5,G11&lt;0.5)</x:f>
        <x:v>1</x:v>
      </x:c>
      <x:c r="I11" s="14" t="str">
        <x:f>IF(H11,"Yes","No")</x:f>
        <x:v>Yes</x:v>
      </x:c>
    </x:row>
    <x:row r="12">
      <x:c r="A12" s="14" t="str">
        <x:v>Caproic Acid</x:v>
      </x:c>
      <x:c r="B12" s="14" t="str">
        <x:v>0.379</x:v>
      </x:c>
      <x:c r="C12" s="14" t="str">
        <x:v>0.233</x:v>
      </x:c>
      <x:c r="D12" s="14" t="str">
        <x:v>0.041</x:v>
      </x:c>
      <x:c r="E12" s="14" t="str">
        <x:v>0.522</x:v>
      </x:c>
      <x:c r="F12" s="14" t="str">
        <x:v>0.398</x:v>
      </x:c>
      <x:c r="G12" s="14" t="str">
        <x:v>0.198</x:v>
      </x:c>
      <x:c r="H12" s="14" t="b">
        <x:f>AND(B12&lt;0.5,C12&lt;0.5,D12&lt;0.5,E12&lt;0.5,F12&lt;0.5,G12&lt;0.5)</x:f>
        <x:v>0</x:v>
      </x:c>
      <x:c r="I12" s="14" t="str">
        <x:f>IF(H12,"Yes","No")</x:f>
        <x:v>No</x:v>
      </x:c>
    </x:row>
    <x:row r="13">
      <x:c r="A13" s="14" t="str">
        <x:v>2-Hydroxy-3-(4-hydroxyphenyl)propanoic acid</x:v>
      </x:c>
      <x:c r="B13" s="14" t="str">
        <x:v>0.373</x:v>
      </x:c>
      <x:c r="C13" s="14" t="str">
        <x:v>0.056</x:v>
      </x:c>
      <x:c r="D13" s="14" t="str">
        <x:v>0.072</x:v>
      </x:c>
      <x:c r="E13" s="14" t="str">
        <x:v>0.278</x:v>
      </x:c>
      <x:c r="F13" s="14" t="str">
        <x:v>0.178</x:v>
      </x:c>
      <x:c r="G13" s="14" t="str">
        <x:v>0.164</x:v>
      </x:c>
      <x:c r="H13" s="14" t="b">
        <x:f>AND(B13&lt;0.5,C13&lt;0.5,D13&lt;0.5,E13&lt;0.5,F13&lt;0.5,G13&lt;0.5)</x:f>
        <x:v>1</x:v>
      </x:c>
      <x:c r="I13" s="14" t="str">
        <x:f>IF(H13,"Yes","No")</x:f>
        <x:v>Yes</x:v>
      </x:c>
    </x:row>
    <x:row r="14">
      <x:c r="A14" s="14" t="str">
        <x:v>3-(4-Hydroxyphenyl)propionic acid</x:v>
      </x:c>
      <x:c r="B14" s="14" t="str">
        <x:v>0.409</x:v>
      </x:c>
      <x:c r="C14" s="14" t="str">
        <x:v>0.103</x:v>
      </x:c>
      <x:c r="D14" s="14" t="str">
        <x:v>0.044</x:v>
      </x:c>
      <x:c r="E14" s="14" t="str">
        <x:v>0.466</x:v>
      </x:c>
      <x:c r="F14" s="14" t="str">
        <x:v>0.320</x:v>
      </x:c>
      <x:c r="G14" s="14" t="str">
        <x:v>0.193</x:v>
      </x:c>
      <x:c r="H14" s="14" t="b">
        <x:f>AND(B14&lt;0.5,C14&lt;0.5,D14&lt;0.5,E14&lt;0.5,F14&lt;0.5,G14&lt;0.5)</x:f>
        <x:v>1</x:v>
      </x:c>
      <x:c r="I14" s="14" t="str">
        <x:f>IF(H14,"Yes","No")</x:f>
        <x:v>Yes</x:v>
      </x:c>
    </x:row>
    <x:row r="15">
      <x:c r="A15" s="14" t="str">
        <x:v>Myristic Acid</x:v>
      </x:c>
      <x:c r="B15" s="14" t="str">
        <x:v>0.417</x:v>
      </x:c>
      <x:c r="C15" s="14" t="str">
        <x:v>0.198</x:v>
      </x:c>
      <x:c r="D15" s="14" t="str">
        <x:v>0.128</x:v>
      </x:c>
      <x:c r="E15" s="14" t="str">
        <x:v>0.860</x:v>
      </x:c>
      <x:c r="F15" s="14" t="str">
        <x:v>0.293</x:v>
      </x:c>
      <x:c r="G15" s="14" t="str">
        <x:v>0.134</x:v>
      </x:c>
      <x:c r="H15" s="14" t="b">
        <x:f>AND(B15&lt;0.5,C15&lt;0.5,D15&lt;0.5,E15&lt;0.5,F15&lt;0.5,G15&lt;0.5)</x:f>
        <x:v>0</x:v>
      </x:c>
      <x:c r="I15" s="14" t="str">
        <x:f>IF(H15,"Yes","No")</x:f>
        <x:v>No</x:v>
      </x:c>
    </x:row>
    <x:row r="16">
      <x:c r="A16" s="14" t="str">
        <x:v>5-Methoxyindole-3-acetic acid</x:v>
      </x:c>
      <x:c r="B16" s="14" t="str">
        <x:v>0.614</x:v>
      </x:c>
      <x:c r="C16" s="14" t="str">
        <x:v>0.990</x:v>
      </x:c>
      <x:c r="D16" s="14" t="str">
        <x:v>0.058</x:v>
      </x:c>
      <x:c r="E16" s="14" t="str">
        <x:v>0.236</x:v>
      </x:c>
      <x:c r="F16" s="14" t="str">
        <x:v>0.385</x:v>
      </x:c>
      <x:c r="G16" s="14" t="str">
        <x:v>0.731</x:v>
      </x:c>
      <x:c r="H16" s="14" t="b">
        <x:f>AND(B16&lt;0.5,C16&lt;0.5,D16&lt;0.5,E16&lt;0.5,F16&lt;0.5,G16&lt;0.5)</x:f>
        <x:v>0</x:v>
      </x:c>
      <x:c r="I16" s="14" t="str">
        <x:f>IF(H16,"Yes","No")</x:f>
        <x:v>No</x:v>
      </x:c>
    </x:row>
    <x:row r="17">
      <x:c r="A17" s="14" t="str">
        <x:v>Arctigenin</x:v>
      </x:c>
      <x:c r="B17" s="14" t="str">
        <x:v>0.942</x:v>
      </x:c>
      <x:c r="C17" s="14" t="str">
        <x:v>0.950</x:v>
      </x:c>
      <x:c r="D17" s="14" t="str">
        <x:v>0.162</x:v>
      </x:c>
      <x:c r="E17" s="14" t="str">
        <x:v>0.904</x:v>
      </x:c>
      <x:c r="F17" s="14" t="str">
        <x:v>0.724</x:v>
      </x:c>
      <x:c r="G17" s="14" t="str">
        <x:v>0.270</x:v>
      </x:c>
      <x:c r="H17" s="14" t="b">
        <x:f>AND(B17&lt;0.5,C17&lt;0.5,D17&lt;0.5,E17&lt;0.5,F17&lt;0.5,G17&lt;0.5)</x:f>
        <x:v>0</x:v>
      </x:c>
      <x:c r="I17" s="14" t="str">
        <x:f>IF(H17,"Yes","No")</x:f>
        <x:v>No</x:v>
      </x:c>
    </x:row>
    <x:row r="18">
      <x:c r="A18" s="14" t="str">
        <x:v>N-Acetyl-L-aspartic acid</x:v>
      </x:c>
      <x:c r="B18" s="14" t="str">
        <x:v>0.524</x:v>
      </x:c>
      <x:c r="C18" s="14" t="str">
        <x:v>0.583</x:v>
      </x:c>
      <x:c r="D18" s="14" t="str">
        <x:v>0.002</x:v>
      </x:c>
      <x:c r="E18" s="14" t="str">
        <x:v>0.888</x:v>
      </x:c>
      <x:c r="F18" s="14" t="str">
        <x:v>0.116</x:v>
      </x:c>
      <x:c r="G18" s="14" t="str">
        <x:v>0.045</x:v>
      </x:c>
      <x:c r="H18" s="14" t="b">
        <x:f>AND(B18&lt;0.5,C18&lt;0.5,D18&lt;0.5,E18&lt;0.5,F18&lt;0.5,G18&lt;0.5)</x:f>
        <x:v>0</x:v>
      </x:c>
      <x:c r="I18" s="14" t="str">
        <x:f>IF(H18,"Yes","No")</x:f>
        <x:v>No</x:v>
      </x:c>
    </x:row>
    <x:row r="19">
      <x:c r="A19" s="14" t="str">
        <x:v>Indole-3-lactic acid</x:v>
      </x:c>
      <x:c r="B19" s="14" t="str">
        <x:v>0.501</x:v>
      </x:c>
      <x:c r="C19" s="14" t="str">
        <x:v>0.312</x:v>
      </x:c>
      <x:c r="D19" s="14" t="str">
        <x:v>0.041</x:v>
      </x:c>
      <x:c r="E19" s="14" t="str">
        <x:v>0.091</x:v>
      </x:c>
      <x:c r="F19" s="14" t="str">
        <x:v>0.248</x:v>
      </x:c>
      <x:c r="G19" s="14" t="str">
        <x:v>0.285</x:v>
      </x:c>
      <x:c r="H19" s="14" t="b">
        <x:f>AND(B19&lt;0.5,C19&lt;0.5,D19&lt;0.5,E19&lt;0.5,F19&lt;0.5,G19&lt;0.5)</x:f>
        <x:v>0</x:v>
      </x:c>
      <x:c r="I19" s="14" t="str">
        <x:f>IF(H19,"Yes","No")</x:f>
        <x:v>No</x:v>
      </x:c>
    </x:row>
    <x:row r="20">
      <x:c r="A20" s="14" t="str">
        <x:v>1,3-Diphenylpropan-2-ol</x:v>
      </x:c>
      <x:c r="B20" s="14" t="str">
        <x:v>0.385</x:v>
      </x:c>
      <x:c r="C20" s="14" t="str">
        <x:v>0.006</x:v>
      </x:c>
      <x:c r="D20" s="14" t="str">
        <x:v>0.553</x:v>
      </x:c>
      <x:c r="E20" s="14" t="str">
        <x:v>0.249</x:v>
      </x:c>
      <x:c r="F20" s="14" t="str">
        <x:v>0.007</x:v>
      </x:c>
      <x:c r="G20" s="14" t="str">
        <x:v>0.047</x:v>
      </x:c>
      <x:c r="H20" s="14" t="b">
        <x:f>AND(B20&lt;0.5,C20&lt;0.5,D20&lt;0.5,E20&lt;0.5,F20&lt;0.5,G20&lt;0.5)</x:f>
        <x:v>0</x:v>
      </x:c>
      <x:c r="I20" s="14" t="str">
        <x:f>IF(H20,"Yes","No")</x:f>
        <x:v>No</x:v>
      </x:c>
    </x:row>
    <x:row r="21">
      <x:c r="A21" s="14" t="str">
        <x:v>Arachidonic Acid</x:v>
      </x:c>
      <x:c r="B21" s="14" t="str">
        <x:v>0.003</x:v>
      </x:c>
      <x:c r="C21" s="14" t="str">
        <x:v>0.000</x:v>
      </x:c>
      <x:c r="D21" s="14" t="str">
        <x:v>0.372</x:v>
      </x:c>
      <x:c r="E21" s="14" t="str">
        <x:v>1.000</x:v>
      </x:c>
      <x:c r="F21" s="14" t="str">
        <x:v>0.000</x:v>
      </x:c>
      <x:c r="G21" s="14" t="str">
        <x:v>0.010</x:v>
      </x:c>
      <x:c r="H21" s="14" t="b">
        <x:f>AND(B21&lt;0.5,C21&lt;0.5,D21&lt;0.5,E21&lt;0.5,F21&lt;0.5,G21&lt;0.5)</x:f>
        <x:v>0</x:v>
      </x:c>
      <x:c r="I21" s="14" t="str">
        <x:f>IF(H21,"Yes","No")</x:f>
        <x:v>No</x:v>
      </x:c>
    </x:row>
    <x:row r="22">
      <x:c r="A22" s="14" t="str">
        <x:v>Doconexent</x:v>
      </x:c>
      <x:c r="B22" s="14" t="str">
        <x:v>0.000</x:v>
      </x:c>
      <x:c r="C22" s="14" t="str">
        <x:v>0.000</x:v>
      </x:c>
      <x:c r="D22" s="14" t="str">
        <x:v>0.621</x:v>
      </x:c>
      <x:c r="E22" s="14" t="str">
        <x:v>1.000</x:v>
      </x:c>
      <x:c r="F22" s="14" t="str">
        <x:v>0.000</x:v>
      </x:c>
      <x:c r="G22" s="14" t="str">
        <x:v>0.016</x:v>
      </x:c>
      <x:c r="H22" s="14" t="b">
        <x:f>AND(B22&lt;0.5,C22&lt;0.5,D22&lt;0.5,E22&lt;0.5,F22&lt;0.5,G22&lt;0.5)</x:f>
        <x:v>0</x:v>
      </x:c>
      <x:c r="I22" s="14" t="str">
        <x:f>IF(H22,"Yes","No")</x:f>
        <x:v>No</x:v>
      </x:c>
    </x:row>
    <x:row r="23">
      <x:c r="A23" s="14" t="str">
        <x:v>Palmitoleic Acid</x:v>
      </x:c>
      <x:c r="B23" s="14" t="str">
        <x:v>0.232</x:v>
      </x:c>
      <x:c r="C23" s="14" t="str">
        <x:v>0.008</x:v>
      </x:c>
      <x:c r="D23" s="14" t="str">
        <x:v>0.132</x:v>
      </x:c>
      <x:c r="E23" s="14" t="str">
        <x:v>0.997</x:v>
      </x:c>
      <x:c r="F23" s="14" t="str">
        <x:v>0.114</x:v>
      </x:c>
      <x:c r="G23" s="14" t="str">
        <x:v>0.083</x:v>
      </x:c>
      <x:c r="H23" s="14" t="b">
        <x:f>AND(B23&lt;0.5,C23&lt;0.5,D23&lt;0.5,E23&lt;0.5,F23&lt;0.5,G23&lt;0.5)</x:f>
        <x:v>0</x:v>
      </x:c>
      <x:c r="I23" s="14" t="str">
        <x:f>IF(H23,"Yes","No")</x:f>
        <x:v>No</x:v>
      </x:c>
    </x:row>
    <x:row r="24">
      <x:c r="A24" s="14" t="str">
        <x:v>8-Prenylnaringenin</x:v>
      </x:c>
      <x:c r="B24" s="14" t="str">
        <x:v>0.809</x:v>
      </x:c>
      <x:c r="C24" s="14" t="str">
        <x:v>0.560</x:v>
      </x:c>
      <x:c r="D24" s="14" t="str">
        <x:v>0.073</x:v>
      </x:c>
      <x:c r="E24" s="14" t="str">
        <x:v>0.978</x:v>
      </x:c>
      <x:c r="F24" s="14" t="str">
        <x:v>0.292</x:v>
      </x:c>
      <x:c r="G24" s="14" t="str">
        <x:v>0.886</x:v>
      </x:c>
      <x:c r="H24" s="14" t="b">
        <x:f>AND(B24&lt;0.5,C24&lt;0.5,D24&lt;0.5,E24&lt;0.5,F24&lt;0.5,G24&lt;0.5)</x:f>
        <x:v>0</x:v>
      </x:c>
      <x:c r="I24" s="14" t="str">
        <x:f>IF(H24,"Yes","No")</x:f>
        <x:v>No</x:v>
      </x:c>
    </x:row>
    <x:row r="25">
      <x:c r="A25" s="14" t="str">
        <x:v>N,O-Bis-(trimethylsilyl)phenylalanine</x:v>
      </x:c>
      <x:c r="B25" s="14" t="str">
        <x:v>0.477</x:v>
      </x:c>
      <x:c r="C25" s="14" t="str">
        <x:v>0.015</x:v>
      </x:c>
      <x:c r="D25" s="14" t="str">
        <x:v>0.260</x:v>
      </x:c>
      <x:c r="E25" s="14" t="str">
        <x:v>0.093</x:v>
      </x:c>
      <x:c r="F25" s="14" t="str">
        <x:v>0.062</x:v>
      </x:c>
      <x:c r="G25" s="14" t="str">
        <x:v>0.067</x:v>
      </x:c>
      <x:c r="H25" s="14" t="b">
        <x:f>AND(B25&lt;0.5,C25&lt;0.5,D25&lt;0.5,E25&lt;0.5,F25&lt;0.5,G25&lt;0.5)</x:f>
        <x:v>1</x:v>
      </x:c>
      <x:c r="I25" s="14" t="str">
        <x:f>IF(H25,"Yes","No")</x:f>
        <x:v>Yes</x:v>
      </x:c>
    </x:row>
    <x:row r="26">
      <x:c r="A26" s="14" t="str">
        <x:v>(10-[(Acetyloxy)methyl]-9-anthryl)methyl acetate</x:v>
      </x:c>
      <x:c r="B26" s="14" t="str">
        <x:v>0.346</x:v>
      </x:c>
      <x:c r="C26" s="14" t="str">
        <x:v>0.929</x:v>
      </x:c>
      <x:c r="D26" s="14" t="str">
        <x:v>0.064</x:v>
      </x:c>
      <x:c r="E26" s="14" t="str">
        <x:v>0.988</x:v>
      </x:c>
      <x:c r="F26" s="14" t="str">
        <x:v>0.979</x:v>
      </x:c>
      <x:c r="G26" s="14" t="str">
        <x:v>0.147</x:v>
      </x:c>
      <x:c r="H26" s="14" t="b">
        <x:f>AND(B26&lt;0.5,C26&lt;0.5,D26&lt;0.5,E26&lt;0.5,F26&lt;0.5,G26&lt;0.5)</x:f>
        <x:v>0</x:v>
      </x:c>
      <x:c r="I26" s="14" t="str">
        <x:f>IF(H26,"Yes","No")</x:f>
        <x:v>No</x:v>
      </x:c>
    </x:row>
    <x:row r="27">
      <x:c r="A27" s="14" t="str">
        <x:v>3-Hydroxy-4-methoxybenzenepropanoic acid</x:v>
      </x:c>
      <x:c r="B27" s="14" t="str">
        <x:v>0.473</x:v>
      </x:c>
      <x:c r="C27" s="14" t="str">
        <x:v>0.308</x:v>
      </x:c>
      <x:c r="D27" s="14" t="str">
        <x:v>0.031</x:v>
      </x:c>
      <x:c r="E27" s="14" t="str">
        <x:v>0.488</x:v>
      </x:c>
      <x:c r="F27" s="14" t="str">
        <x:v>0.379</x:v>
      </x:c>
      <x:c r="G27" s="14" t="str">
        <x:v>0.180</x:v>
      </x:c>
      <x:c r="H27" s="14" t="b">
        <x:f>AND(B27&lt;0.5,C27&lt;0.5,D27&lt;0.5,E27&lt;0.5,F27&lt;0.5,G27&lt;0.5)</x:f>
        <x:v>1</x:v>
      </x:c>
      <x:c r="I27" s="14" t="str">
        <x:f>IF(H27,"Yes","No")</x:f>
        <x:v>Yes</x:v>
      </x:c>
    </x:row>
    <x:row r="28">
      <x:c r="A28" s="14" t="str">
        <x:v>3-(1H-indol-3-yl)propanoate</x:v>
      </x:c>
      <x:c r="B28" s="14" t="str">
        <x:v>0.520</x:v>
      </x:c>
      <x:c r="C28" s="14" t="str">
        <x:v>0.471</x:v>
      </x:c>
      <x:c r="D28" s="14" t="str">
        <x:v>0.033</x:v>
      </x:c>
      <x:c r="E28" s="14" t="str">
        <x:v>0.240</x:v>
      </x:c>
      <x:c r="F28" s="14" t="str">
        <x:v>0.454</x:v>
      </x:c>
      <x:c r="G28" s="14" t="str">
        <x:v>0.301</x:v>
      </x:c>
      <x:c r="H28" s="14" t="b">
        <x:f>AND(B28&lt;0.5,C28&lt;0.5,D28&lt;0.5,E28&lt;0.5,F28&lt;0.5,G28&lt;0.5)</x:f>
        <x:v>0</x:v>
      </x:c>
      <x:c r="I28" s="14" t="str">
        <x:f>IF(H28,"Yes","No")</x:f>
        <x:v>No</x:v>
      </x:c>
    </x:row>
    <x:row r="29">
      <x:c r="A29" s="14" t="str">
        <x:v>Apigenin</x:v>
      </x:c>
      <x:c r="B29" s="14" t="str">
        <x:v>0.435</x:v>
      </x:c>
      <x:c r="C29" s="14" t="str">
        <x:v>0.743</x:v>
      </x:c>
      <x:c r="D29" s="14" t="str">
        <x:v>0.100</x:v>
      </x:c>
      <x:c r="E29" s="14" t="str">
        <x:v>0.645</x:v>
      </x:c>
      <x:c r="F29" s="14" t="str">
        <x:v>0.793</x:v>
      </x:c>
      <x:c r="G29" s="14" t="str">
        <x:v>0.520</x:v>
      </x:c>
      <x:c r="H29" s="14" t="b">
        <x:f>AND(B29&lt;0.5,C29&lt;0.5,D29&lt;0.5,E29&lt;0.5,F29&lt;0.5,G29&lt;0.5)</x:f>
        <x:v>0</x:v>
      </x:c>
      <x:c r="I29" s="14" t="str">
        <x:f>IF(H29,"Yes","No")</x:f>
        <x:v>No</x:v>
      </x:c>
    </x:row>
    <x:row r="30">
      <x:c r="A30" s="14" t="str">
        <x:v>Luteolin</x:v>
      </x:c>
      <x:c r="B30" s="14" t="str">
        <x:v>0.367</x:v>
      </x:c>
      <x:c r="C30" s="14" t="str">
        <x:v>0.796</x:v>
      </x:c>
      <x:c r="D30" s="14" t="str">
        <x:v>0.069</x:v>
      </x:c>
      <x:c r="E30" s="14" t="str">
        <x:v>0.929</x:v>
      </x:c>
      <x:c r="F30" s="14" t="str">
        <x:v>0.689</x:v>
      </x:c>
      <x:c r="G30" s="14" t="str">
        <x:v>0.510</x:v>
      </x:c>
      <x:c r="H30" s="14" t="b">
        <x:f>AND(B30&lt;0.5,C30&lt;0.5,D30&lt;0.5,E30&lt;0.5,F30&lt;0.5,G30&lt;0.5)</x:f>
        <x:v>0</x:v>
      </x:c>
      <x:c r="I30" s="14" t="str">
        <x:f>IF(H30,"Yes","No")</x:f>
        <x:v>No</x:v>
      </x:c>
    </x:row>
    <x:row r="31">
      <x:c r="A31" s="14" t="str">
        <x:v>Linoleic Acid</x:v>
      </x:c>
      <x:c r="B31" s="14" t="str">
        <x:v>0.138</x:v>
      </x:c>
      <x:c r="C31" s="14" t="str">
        <x:v>0.000</x:v>
      </x:c>
      <x:c r="D31" s="14" t="str">
        <x:v>0.159</x:v>
      </x:c>
      <x:c r="E31" s="14" t="str">
        <x:v>1.000</x:v>
      </x:c>
      <x:c r="F31" s="14" t="str">
        <x:v>0.022</x:v>
      </x:c>
      <x:c r="G31" s="14" t="str">
        <x:v>0.033</x:v>
      </x:c>
      <x:c r="H31" s="14" t="b">
        <x:f>AND(B31&lt;0.5,C31&lt;0.5,D31&lt;0.5,E31&lt;0.5,F31&lt;0.5,G31&lt;0.5)</x:f>
        <x:v>0</x:v>
      </x:c>
      <x:c r="I31" s="14" t="str">
        <x:f>IF(H31,"Yes","No")</x:f>
        <x:v>No</x:v>
      </x:c>
    </x:row>
    <x:row r="32">
      <x:c r="A32" s="14" t="str">
        <x:v>Kaempferol</x:v>
      </x:c>
      <x:c r="B32" s="14" t="str">
        <x:v>0.386</x:v>
      </x:c>
      <x:c r="C32" s="14" t="str">
        <x:v>0.703</x:v>
      </x:c>
      <x:c r="D32" s="14" t="str">
        <x:v>0.069</x:v>
      </x:c>
      <x:c r="E32" s="14" t="str">
        <x:v>0.621</x:v>
      </x:c>
      <x:c r="F32" s="14" t="str">
        <x:v>0.716</x:v>
      </x:c>
      <x:c r="G32" s="14" t="str">
        <x:v>0.488</x:v>
      </x:c>
      <x:c r="H32" s="14" t="b">
        <x:f>AND(B32&lt;0.5,C32&lt;0.5,D32&lt;0.5,E32&lt;0.5,F32&lt;0.5,G32&lt;0.5)</x:f>
        <x:v>0</x:v>
      </x:c>
      <x:c r="I32" s="14" t="str">
        <x:f>IF(H32,"Yes","No")</x:f>
        <x:v>No</x:v>
      </x:c>
    </x:row>
    <x:row r="33">
      <x:c r="A33" s="14" t="str">
        <x:v>Naringenin chalcone</x:v>
      </x:c>
      <x:c r="B33" s="14" t="str">
        <x:v>0.446</x:v>
      </x:c>
      <x:c r="C33" s="14" t="str">
        <x:v>0.365</x:v>
      </x:c>
      <x:c r="D33" s="14" t="str">
        <x:v>0.128</x:v>
      </x:c>
      <x:c r="E33" s="14" t="str">
        <x:v>0.756</x:v>
      </x:c>
      <x:c r="F33" s="14" t="str">
        <x:v>0.229</x:v>
      </x:c>
      <x:c r="G33" s="14" t="str">
        <x:v>0.189</x:v>
      </x:c>
      <x:c r="H33" s="14" t="b">
        <x:f>AND(B33&lt;0.5,C33&lt;0.5,D33&lt;0.5,E33&lt;0.5,F33&lt;0.5,G33&lt;0.5)</x:f>
        <x:v>0</x:v>
      </x:c>
      <x:c r="I33" s="14" t="str">
        <x:f>IF(H33,"Yes","No")</x:f>
        <x:v>No</x:v>
      </x:c>
    </x:row>
    <x:row r="34">
      <x:c r="A34" s="14" t="str">
        <x:v>Diosmetin</x:v>
      </x:c>
      <x:c r="B34" s="14" t="str">
        <x:v>0.423</x:v>
      </x:c>
      <x:c r="C34" s="14" t="str">
        <x:v>0.741</x:v>
      </x:c>
      <x:c r="D34" s="14" t="str">
        <x:v>0.078</x:v>
      </x:c>
      <x:c r="E34" s="14" t="str">
        <x:v>0.687</x:v>
      </x:c>
      <x:c r="F34" s="14" t="str">
        <x:v>0.768</x:v>
      </x:c>
      <x:c r="G34" s="14" t="str">
        <x:v>0.472</x:v>
      </x:c>
      <x:c r="H34" s="14" t="b">
        <x:f>AND(B34&lt;0.5,C34&lt;0.5,D34&lt;0.5,E34&lt;0.5,F34&lt;0.5,G34&lt;0.5)</x:f>
        <x:v>0</x:v>
      </x:c>
      <x:c r="I34" s="14" t="str">
        <x:f>IF(H34,"Yes","No")</x:f>
        <x:v>No</x:v>
      </x:c>
    </x:row>
    <x:row r="35">
      <x:c r="A35" s="14" t="str">
        <x:v>Daidzein</x:v>
      </x:c>
      <x:c r="B35" s="14" t="str">
        <x:v>0.474</x:v>
      </x:c>
      <x:c r="C35" s="14" t="str">
        <x:v>0.443</x:v>
      </x:c>
      <x:c r="D35" s="14" t="str">
        <x:v>0.194</x:v>
      </x:c>
      <x:c r="E35" s="14" t="str">
        <x:v>0.481</x:v>
      </x:c>
      <x:c r="F35" s="14" t="str">
        <x:v>0.744</x:v>
      </x:c>
      <x:c r="G35" s="14" t="str">
        <x:v>0.569</x:v>
      </x:c>
      <x:c r="H35" s="14" t="b">
        <x:f>AND(B35&lt;0.5,C35&lt;0.5,D35&lt;0.5,E35&lt;0.5,F35&lt;0.5,G35&lt;0.5)</x:f>
        <x:v>0</x:v>
      </x:c>
      <x:c r="I35" s="14" t="str">
        <x:f>IF(H35,"Yes","No")</x:f>
        <x:v>No</x:v>
      </x:c>
    </x:row>
    <x:row r="36">
      <x:c r="A36" s="14" t="str">
        <x:v>Icaritin</x:v>
      </x:c>
      <x:c r="B36" s="14" t="str">
        <x:v>0.464</x:v>
      </x:c>
      <x:c r="C36" s="14" t="str">
        <x:v>0.894</x:v>
      </x:c>
      <x:c r="D36" s="14" t="str">
        <x:v>0.043</x:v>
      </x:c>
      <x:c r="E36" s="14" t="str">
        <x:v>0.750</x:v>
      </x:c>
      <x:c r="F36" s="14" t="str">
        <x:v>0.547</x:v>
      </x:c>
      <x:c r="G36" s="14" t="str">
        <x:v>0.671</x:v>
      </x:c>
      <x:c r="H36" s="14" t="b">
        <x:f>AND(B36&lt;0.5,C36&lt;0.5,D36&lt;0.5,E36&lt;0.5,F36&lt;0.5,G36&lt;0.5)</x:f>
        <x:v>0</x:v>
      </x:c>
      <x:c r="I36" s="14" t="str">
        <x:f>IF(H36,"Yes","No")</x:f>
        <x:v>No</x:v>
      </x:c>
    </x:row>
    <x:row r="37">
      <x:c r="A37" s="14" t="str">
        <x:v>(R)-3-(4-Hydroxyphenyl)lactate</x:v>
      </x:c>
      <x:c r="B37" s="14" t="str">
        <x:v>0.588</x:v>
      </x:c>
      <x:c r="C37" s="14" t="str">
        <x:v>0.073</x:v>
      </x:c>
      <x:c r="D37" s="14" t="str">
        <x:v>0.081</x:v>
      </x:c>
      <x:c r="E37" s="14" t="str">
        <x:v>0.617</x:v>
      </x:c>
      <x:c r="F37" s="14" t="str">
        <x:v>0.094</x:v>
      </x:c>
      <x:c r="G37" s="14" t="str">
        <x:v>0.420</x:v>
      </x:c>
      <x:c r="H37" s="14" t="b">
        <x:f>AND(B37&lt;0.5,C37&lt;0.5,D37&lt;0.5,E37&lt;0.5,F37&lt;0.5,G37&lt;0.5)</x:f>
        <x:v>0</x:v>
      </x:c>
      <x:c r="I37" s="14" t="str">
        <x:f>IF(H37,"Yes","No")</x:f>
        <x:v>No</x:v>
      </x:c>
    </x:row>
    <x:row r="38">
      <x:c r="A38" s="14" t="str">
        <x:v>Ethyl phenyllactate, (-)-</x:v>
      </x:c>
      <x:c r="B38" s="14" t="str">
        <x:v>0.413</x:v>
      </x:c>
      <x:c r="C38" s="14" t="str">
        <x:v>0.026</x:v>
      </x:c>
      <x:c r="D38" s="14" t="str">
        <x:v>0.315</x:v>
      </x:c>
      <x:c r="E38" s="14" t="str">
        <x:v>0.694</x:v>
      </x:c>
      <x:c r="F38" s="14" t="str">
        <x:v>0.023</x:v>
      </x:c>
      <x:c r="G38" s="14" t="str">
        <x:v>0.016</x:v>
      </x:c>
      <x:c r="H38" s="14" t="b">
        <x:f>AND(B38&lt;0.5,C38&lt;0.5,D38&lt;0.5,E38&lt;0.5,F38&lt;0.5,G38&lt;0.5)</x:f>
        <x:v>0</x:v>
      </x:c>
      <x:c r="I38" s="14" t="str">
        <x:f>IF(H38,"Yes","No")</x:f>
        <x:v>No</x:v>
      </x:c>
    </x:row>
    <x:row r="39">
      <x:c r="A39" s="14" t="str">
        <x:v>10-Oxo-11-octadecenoic acid</x:v>
      </x:c>
      <x:c r="B39" s="14" t="str">
        <x:v>0.422</x:v>
      </x:c>
      <x:c r="C39" s="14" t="str">
        <x:v>0.063</x:v>
      </x:c>
      <x:c r="D39" s="14" t="str">
        <x:v>0.146</x:v>
      </x:c>
      <x:c r="E39" s="14" t="str">
        <x:v>0.933</x:v>
      </x:c>
      <x:c r="F39" s="14" t="str">
        <x:v>0.104</x:v>
      </x:c>
      <x:c r="G39" s="14" t="str">
        <x:v>0.064</x:v>
      </x:c>
      <x:c r="H39" s="14" t="b">
        <x:f>AND(B39&lt;0.5,C39&lt;0.5,D39&lt;0.5,E39&lt;0.5,F39&lt;0.5,G39&lt;0.5)</x:f>
        <x:v>0</x:v>
      </x:c>
      <x:c r="I39" s="14" t="str">
        <x:f>IF(H39,"Yes","No")</x:f>
        <x:v>No</x:v>
      </x:c>
    </x:row>
    <x:row r="40">
      <x:c r="A40" s="14" t="str">
        <x:v>10-keto-12Z-octadecenoic acid</x:v>
      </x:c>
      <x:c r="B40" s="14" t="str">
        <x:v>0.211</x:v>
      </x:c>
      <x:c r="C40" s="14" t="str">
        <x:v>0.009</x:v>
      </x:c>
      <x:c r="D40" s="14" t="str">
        <x:v>0.099</x:v>
      </x:c>
      <x:c r="E40" s="14" t="str">
        <x:v>0.996</x:v>
      </x:c>
      <x:c r="F40" s="14" t="str">
        <x:v>0.062</x:v>
      </x:c>
      <x:c r="G40" s="14" t="str">
        <x:v>0.043</x:v>
      </x:c>
      <x:c r="H40" s="14" t="b">
        <x:f>AND(B40&lt;0.5,C40&lt;0.5,D40&lt;0.5,E40&lt;0.5,F40&lt;0.5,G40&lt;0.5)</x:f>
        <x:v>0</x:v>
      </x:c>
      <x:c r="I40" s="14" t="str">
        <x:f>IF(H40,"Yes","No")</x:f>
        <x:v>No</x:v>
      </x:c>
    </x:row>
  </x:sheetData>
  <x:pageMargins left="0.7" right="0.7" top="0.75" bottom="0.75" header="0.3" footer="0.3"/>
</x:worksheet>
</file>